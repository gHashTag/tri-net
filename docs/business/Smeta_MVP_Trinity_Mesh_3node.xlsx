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MVP" sheetId="1" state="visible" r:id="rId1"/>
    <sheet xmlns:r="http://schemas.openxmlformats.org/officeDocument/2006/relationships" name="Расширение (вне MV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1"/>
    </font>
    <font>
      <name val="Arial"/>
      <color rgb="00333333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7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54" customWidth="1" min="3" max="3"/>
    <col width="7" customWidth="1" min="4" max="4"/>
    <col width="6" customWidth="1" min="5" max="5"/>
    <col width="16" customWidth="1" min="6" max="6"/>
    <col width="17" customWidth="1" min="7" max="7"/>
    <col width="16" customWidth="1" min="8" max="8"/>
    <col width="17" customWidth="1" min="9" max="9"/>
    <col width="30" customWidth="1" min="10" max="10"/>
  </cols>
  <sheetData>
    <row r="1">
      <c r="A1" s="1" t="inlineStr">
        <is>
          <t>Смета на оборудование — MVP (минимальная mesh-сеть, 3 узла)</t>
        </is>
      </c>
    </row>
    <row r="2">
      <c r="A2" s="2" t="inlineStr">
        <is>
          <t>Проект: Trinity Secure Mesh Node v2.0 / TRI-1  ·  DOI 10.5281/zenodo.19227877</t>
        </is>
      </c>
    </row>
    <row r="3">
      <c r="A3" s="2" t="inlineStr">
        <is>
          <t>Конфигурация: 3× FPGA-узла ALINX AX7203 — 3-узловой mesh + видео/аудио-тракт для демо «видео-рации» (UC-1 / AC-2)</t>
        </is>
      </c>
    </row>
    <row r="4">
      <c r="A4" s="2" t="inlineStr">
        <is>
          <t>Валюта: RUB. «Ориент.» — рыночные оценки (требуют КП). Жёлтый столбец «факт/КП» — для цен поставщиков; суммы пересчитываются.</t>
        </is>
      </c>
    </row>
    <row r="6">
      <c r="A6" s="3" t="inlineStr">
        <is>
          <t>№</t>
        </is>
      </c>
      <c r="B6" s="3" t="inlineStr">
        <is>
          <t>Наименование</t>
        </is>
      </c>
      <c r="C6" s="3" t="inlineStr">
        <is>
          <t>Назначение / комментарий</t>
        </is>
      </c>
      <c r="D6" s="3" t="inlineStr">
        <is>
          <t>Кол-во</t>
        </is>
      </c>
      <c r="E6" s="3" t="inlineStr">
        <is>
          <t>Ед.</t>
        </is>
      </c>
      <c r="F6" s="3" t="inlineStr">
        <is>
          <t>Цена ориент., ₽</t>
        </is>
      </c>
      <c r="G6" s="3" t="inlineStr">
        <is>
          <t>Сумма ориент., ₽</t>
        </is>
      </c>
      <c r="H6" s="3" t="inlineStr">
        <is>
          <t>Цена факт/КП, ₽</t>
        </is>
      </c>
      <c r="I6" s="3" t="inlineStr">
        <is>
          <t>Сумма факт/КП, ₽</t>
        </is>
      </c>
      <c r="J6" s="3" t="inlineStr">
        <is>
          <t>Поставщик / источник</t>
        </is>
      </c>
    </row>
    <row r="7">
      <c r="A7" s="4" t="inlineStr">
        <is>
          <t>1. ОСНОВНОЕ ОБОРУДОВАНИЕ (FPGA-узлы)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6" t="n">
        <v>1</v>
      </c>
      <c r="B8" s="7" t="inlineStr">
        <is>
          <t>Плата FPGA ALINX AX7203 (Xilinx Artix-7 XC7A200T)</t>
        </is>
      </c>
      <c r="C8" s="7" t="inlineStr">
        <is>
          <t>Узел mesh: packet-fabric, 2× GbE, HDMI in/out, 4× GTP, audit-log в DDR3. Базовая плата всех 3 узлов</t>
        </is>
      </c>
      <c r="D8" s="8" t="n">
        <v>3</v>
      </c>
      <c r="E8" s="6" t="inlineStr">
        <is>
          <t>шт</t>
        </is>
      </c>
      <c r="F8" s="9" t="n">
        <v>55000</v>
      </c>
      <c r="G8" s="10">
        <f>D8*F8</f>
        <v/>
      </c>
      <c r="H8" s="11" t="n"/>
      <c r="I8" s="10">
        <f>D8*H8</f>
        <v/>
      </c>
      <c r="J8" s="7" t="inlineStr">
        <is>
          <t>ALINX RU-партнёр (alinx.com)</t>
        </is>
      </c>
    </row>
    <row r="9">
      <c r="A9" s="12" t="inlineStr">
        <is>
          <t>Подытог 1, ₽</t>
        </is>
      </c>
      <c r="B9" s="13" t="n"/>
      <c r="C9" s="13" t="n"/>
      <c r="D9" s="13" t="n"/>
      <c r="E9" s="13" t="n"/>
      <c r="F9" s="13" t="n"/>
      <c r="G9" s="14">
        <f>SUM(G8:G8)</f>
        <v/>
      </c>
      <c r="H9" s="13" t="n"/>
      <c r="I9" s="14">
        <f>SUM(I8:I8)</f>
        <v/>
      </c>
      <c r="J9" s="13" t="n"/>
    </row>
    <row r="10">
      <c r="A10" s="4" t="inlineStr">
        <is>
          <t>2. ВИДЕО/АУДИО-ТРАКТ (демо видео-рации — UC-1 / AC-2)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n">
        <v>2</v>
      </c>
      <c r="B11" s="7" t="inlineStr">
        <is>
          <t>Камера-модуль OV5640 (ALINX) или HDMI-камера 1080p</t>
        </is>
      </c>
      <c r="C11" s="7" t="inlineStr">
        <is>
          <t>Источник видео (HDMI in / expansion-порт). 2 оконечных узла видео-рации; 3-й узел — ретранслятор</t>
        </is>
      </c>
      <c r="D11" s="8" t="n">
        <v>2</v>
      </c>
      <c r="E11" s="6" t="inlineStr">
        <is>
          <t>шт</t>
        </is>
      </c>
      <c r="F11" s="9" t="n">
        <v>5000</v>
      </c>
      <c r="G11" s="10">
        <f>D11*F11</f>
        <v/>
      </c>
      <c r="H11" s="11" t="n"/>
      <c r="I11" s="10">
        <f>D11*H11</f>
        <v/>
      </c>
      <c r="J11" s="7" t="inlineStr">
        <is>
          <t>дистрибьютор / ALINX</t>
        </is>
      </c>
    </row>
    <row r="12">
      <c r="A12" s="6" t="n">
        <v>3</v>
      </c>
      <c r="B12" s="7" t="inlineStr">
        <is>
          <t>HDMI-монитор (можно существующие)</t>
        </is>
      </c>
      <c r="C12" s="7" t="inlineStr">
        <is>
          <t>Отображение принятого видеопотока (HDMI out)</t>
        </is>
      </c>
      <c r="D12" s="8" t="n">
        <v>2</v>
      </c>
      <c r="E12" s="6" t="inlineStr">
        <is>
          <t>шт</t>
        </is>
      </c>
      <c r="F12" s="9" t="n">
        <v>12000</v>
      </c>
      <c r="G12" s="10">
        <f>D12*F12</f>
        <v/>
      </c>
      <c r="H12" s="11" t="n"/>
      <c r="I12" s="10">
        <f>D12*H12</f>
        <v/>
      </c>
      <c r="J12" s="7" t="inlineStr">
        <is>
          <t>локальный / существующий</t>
        </is>
      </c>
    </row>
    <row r="13">
      <c r="A13" s="6" t="n">
        <v>4</v>
      </c>
      <c r="B13" s="7" t="inlineStr">
        <is>
          <t>HDMI-кабель 1–2 м</t>
        </is>
      </c>
      <c r="C13" s="7" t="inlineStr">
        <is>
          <t>Подключение камеры/монитора к HDMI in/out (по 2 на узел)</t>
        </is>
      </c>
      <c r="D13" s="8" t="n">
        <v>4</v>
      </c>
      <c r="E13" s="6" t="inlineStr">
        <is>
          <t>шт</t>
        </is>
      </c>
      <c r="F13" s="9" t="n">
        <v>600</v>
      </c>
      <c r="G13" s="10">
        <f>D13*F13</f>
        <v/>
      </c>
      <c r="H13" s="11" t="n"/>
      <c r="I13" s="10">
        <f>D13*H13</f>
        <v/>
      </c>
      <c r="J13" s="7" t="inlineStr">
        <is>
          <t>локальный дистрибьютор</t>
        </is>
      </c>
    </row>
    <row r="14">
      <c r="A14" s="6" t="n">
        <v>5</v>
      </c>
      <c r="B14" s="7" t="inlineStr">
        <is>
          <t>Микрофон + динамик / USB-гарнитура</t>
        </is>
      </c>
      <c r="C14" s="7" t="inlineStr">
        <is>
          <t>Голосовой канал H.264/AAC, приоритет QoS. По 1 комплекту на оконечный узел</t>
        </is>
      </c>
      <c r="D14" s="8" t="n">
        <v>2</v>
      </c>
      <c r="E14" s="6" t="inlineStr">
        <is>
          <t>компл</t>
        </is>
      </c>
      <c r="F14" s="9" t="n">
        <v>2500</v>
      </c>
      <c r="G14" s="10">
        <f>D14*F14</f>
        <v/>
      </c>
      <c r="H14" s="11" t="n"/>
      <c r="I14" s="10">
        <f>D14*H14</f>
        <v/>
      </c>
      <c r="J14" s="7" t="inlineStr">
        <is>
          <t>локальный дистрибьютор</t>
        </is>
      </c>
    </row>
    <row r="15">
      <c r="A15" s="12" t="inlineStr">
        <is>
          <t>Подытог 2, ₽</t>
        </is>
      </c>
      <c r="B15" s="13" t="n"/>
      <c r="C15" s="13" t="n"/>
      <c r="D15" s="13" t="n"/>
      <c r="E15" s="13" t="n"/>
      <c r="F15" s="13" t="n"/>
      <c r="G15" s="14">
        <f>SUM(G11:G14)</f>
        <v/>
      </c>
      <c r="H15" s="13" t="n"/>
      <c r="I15" s="14">
        <f>SUM(I11:I14)</f>
        <v/>
      </c>
      <c r="J15" s="13" t="n"/>
    </row>
    <row r="16">
      <c r="A16" s="4" t="inlineStr">
        <is>
          <t>3. СЕТЬ И АКСЕССУАРЫ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n">
        <v>6</v>
      </c>
      <c r="B17" s="7" t="inlineStr">
        <is>
          <t>Карта microSD 32 ГБ (industrial)</t>
        </is>
      </c>
      <c r="C17" s="7" t="inlineStr">
        <is>
          <t>Загрузка битстрима / хранение audit-логов на узле</t>
        </is>
      </c>
      <c r="D17" s="8" t="n">
        <v>3</v>
      </c>
      <c r="E17" s="6" t="inlineStr">
        <is>
          <t>шт</t>
        </is>
      </c>
      <c r="F17" s="9" t="n">
        <v>1200</v>
      </c>
      <c r="G17" s="10">
        <f>D17*F17</f>
        <v/>
      </c>
      <c r="H17" s="11" t="n"/>
      <c r="I17" s="10">
        <f>D17*H17</f>
        <v/>
      </c>
      <c r="J17" s="7" t="inlineStr">
        <is>
          <t>локальный дистрибьютор</t>
        </is>
      </c>
    </row>
    <row r="18">
      <c r="A18" s="6" t="n">
        <v>7</v>
      </c>
      <c r="B18" s="7" t="inlineStr">
        <is>
          <t>Патч-корд Ethernet Cat6, 1–3 м</t>
        </is>
      </c>
      <c r="C18" s="7" t="inlineStr">
        <is>
          <t>Mesh-линки между узлами (триангуляция) + host/запас</t>
        </is>
      </c>
      <c r="D18" s="8" t="n">
        <v>6</v>
      </c>
      <c r="E18" s="6" t="inlineStr">
        <is>
          <t>шт</t>
        </is>
      </c>
      <c r="F18" s="9" t="n">
        <v>400</v>
      </c>
      <c r="G18" s="10">
        <f>D18*F18</f>
        <v/>
      </c>
      <c r="H18" s="11" t="n"/>
      <c r="I18" s="10">
        <f>D18*H18</f>
        <v/>
      </c>
      <c r="J18" s="7" t="inlineStr">
        <is>
          <t>локальный дистрибьютор</t>
        </is>
      </c>
    </row>
    <row r="19">
      <c r="A19" s="6" t="n">
        <v>8</v>
      </c>
      <c r="B19" s="7" t="inlineStr">
        <is>
          <t>USB-JTAG загрузчик (резерв)</t>
        </is>
      </c>
      <c r="C19" s="7" t="inlineStr">
        <is>
          <t>Прошивка FPGA. На AX7203 обычно есть онбордный USB-JTAG — 1 шт. про запас</t>
        </is>
      </c>
      <c r="D19" s="8" t="n">
        <v>1</v>
      </c>
      <c r="E19" s="6" t="inlineStr">
        <is>
          <t>шт</t>
        </is>
      </c>
      <c r="F19" s="9" t="n">
        <v>6000</v>
      </c>
      <c r="G19" s="10">
        <f>D19*F19</f>
        <v/>
      </c>
      <c r="H19" s="11" t="n"/>
      <c r="I19" s="10">
        <f>D19*H19</f>
        <v/>
      </c>
      <c r="J19" s="7" t="inlineStr">
        <is>
          <t>ALINX / дистрибьютор</t>
        </is>
      </c>
    </row>
    <row r="20">
      <c r="A20" s="6" t="n">
        <v>9</v>
      </c>
      <c r="B20" s="7" t="inlineStr">
        <is>
          <t>Блок питания 12 В</t>
        </is>
      </c>
      <c r="C20" s="7" t="inlineStr">
        <is>
          <t>Входит в комплект платы AX7203</t>
        </is>
      </c>
      <c r="D20" s="8" t="n">
        <v>3</v>
      </c>
      <c r="E20" s="6" t="inlineStr">
        <is>
          <t>шт</t>
        </is>
      </c>
      <c r="F20" s="9" t="n">
        <v>0</v>
      </c>
      <c r="G20" s="10">
        <f>D20*F20</f>
        <v/>
      </c>
      <c r="H20" s="11" t="n"/>
      <c r="I20" s="10">
        <f>D20*H20</f>
        <v/>
      </c>
      <c r="J20" s="7" t="inlineStr">
        <is>
          <t>в комплекте</t>
        </is>
      </c>
    </row>
    <row r="21">
      <c r="A21" s="6" t="n">
        <v>10</v>
      </c>
      <c r="B21" s="7" t="inlineStr">
        <is>
          <t>Кабель USB-UART</t>
        </is>
      </c>
      <c r="C21" s="7" t="inlineStr">
        <is>
          <t>Консоль/отладка. Входит в комплект платы</t>
        </is>
      </c>
      <c r="D21" s="8" t="n">
        <v>3</v>
      </c>
      <c r="E21" s="6" t="inlineStr">
        <is>
          <t>шт</t>
        </is>
      </c>
      <c r="F21" s="9" t="n">
        <v>0</v>
      </c>
      <c r="G21" s="10">
        <f>D21*F21</f>
        <v/>
      </c>
      <c r="H21" s="11" t="n"/>
      <c r="I21" s="10">
        <f>D21*H21</f>
        <v/>
      </c>
      <c r="J21" s="7" t="inlineStr">
        <is>
          <t>в комплекте</t>
        </is>
      </c>
    </row>
    <row r="22">
      <c r="A22" s="12" t="inlineStr">
        <is>
          <t>Подытог 3, ₽</t>
        </is>
      </c>
      <c r="B22" s="13" t="n"/>
      <c r="C22" s="13" t="n"/>
      <c r="D22" s="13" t="n"/>
      <c r="E22" s="13" t="n"/>
      <c r="F22" s="13" t="n"/>
      <c r="G22" s="14">
        <f>SUM(G17:G21)</f>
        <v/>
      </c>
      <c r="H22" s="13" t="n"/>
      <c r="I22" s="14">
        <f>SUM(I17:I21)</f>
        <v/>
      </c>
      <c r="J22" s="13" t="n"/>
    </row>
    <row r="23">
      <c r="A23" s="4" t="inlineStr">
        <is>
          <t>4. ОПЦИОНАЛЬНО / ПРИ НЕОБХОДИМОСТИ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6" t="n">
        <v>11</v>
      </c>
      <c r="B24" s="7" t="inlineStr">
        <is>
          <t>SFP оптический модуль 1G</t>
        </is>
      </c>
      <c r="C24" s="7" t="inlineStr">
        <is>
          <t>Для GTP/HSST оптических линков. На AX7203 опц. (mesh идёт по GbE); обязателен для Pango-порта</t>
        </is>
      </c>
      <c r="D24" s="8" t="n">
        <v>2</v>
      </c>
      <c r="E24" s="6" t="inlineStr">
        <is>
          <t>шт</t>
        </is>
      </c>
      <c r="F24" s="9" t="n">
        <v>2500</v>
      </c>
      <c r="G24" s="10">
        <f>D24*F24</f>
        <v/>
      </c>
      <c r="H24" s="11" t="n"/>
      <c r="I24" s="10">
        <f>D24*H24</f>
        <v/>
      </c>
      <c r="J24" s="7" t="inlineStr">
        <is>
          <t>локальный дистрибьютор</t>
        </is>
      </c>
    </row>
    <row r="25">
      <c r="A25" s="6" t="n">
        <v>12</v>
      </c>
      <c r="B25" s="7" t="inlineStr">
        <is>
          <t>Рабочая станция (host PC)</t>
        </is>
      </c>
      <c r="C25" s="7" t="inlineStr">
        <is>
          <t>Проверка корня Merkle (audit-port), мониторинг mesh. Обычно существующая</t>
        </is>
      </c>
      <c r="D25" s="8" t="n">
        <v>1</v>
      </c>
      <c r="E25" s="6" t="inlineStr">
        <is>
          <t>шт</t>
        </is>
      </c>
      <c r="F25" s="9" t="n">
        <v>120000</v>
      </c>
      <c r="G25" s="10">
        <f>D25*F25</f>
        <v/>
      </c>
      <c r="H25" s="11" t="n"/>
      <c r="I25" s="10">
        <f>D25*H25</f>
        <v/>
      </c>
      <c r="J25" s="7" t="inlineStr">
        <is>
          <t>при отсутствии</t>
        </is>
      </c>
    </row>
    <row r="26">
      <c r="A26" s="6" t="n">
        <v>13</v>
      </c>
      <c r="B26" s="7" t="inlineStr">
        <is>
          <t>Коммутатор GbE управляемый, 8 портов</t>
        </is>
      </c>
      <c r="C26" s="7" t="inlineStr">
        <is>
          <t>Агрегация host/audit-порта при звезде мониторинга (опц.)</t>
        </is>
      </c>
      <c r="D26" s="8" t="n">
        <v>1</v>
      </c>
      <c r="E26" s="6" t="inlineStr">
        <is>
          <t>шт</t>
        </is>
      </c>
      <c r="F26" s="9" t="n">
        <v>9000</v>
      </c>
      <c r="G26" s="10">
        <f>D26*F26</f>
        <v/>
      </c>
      <c r="H26" s="11" t="n"/>
      <c r="I26" s="10">
        <f>D26*H26</f>
        <v/>
      </c>
      <c r="J26" s="7" t="inlineStr">
        <is>
          <t>локальный дистрибьютор</t>
        </is>
      </c>
    </row>
    <row r="27">
      <c r="A27" s="6" t="n">
        <v>14</v>
      </c>
      <c r="B27" s="7" t="inlineStr">
        <is>
          <t>Модуль КМ211 K1986ВО1Т</t>
        </is>
      </c>
      <c r="C27" s="7" t="inlineStr">
        <is>
          <t>Хранитель ключа на host-стороне (крипто-граница, R-6). Опц. для MVP</t>
        </is>
      </c>
      <c r="D27" s="8" t="n">
        <v>1</v>
      </c>
      <c r="E27" s="6" t="inlineStr">
        <is>
          <t>шт</t>
        </is>
      </c>
      <c r="F27" s="9" t="n">
        <v>4000</v>
      </c>
      <c r="G27" s="10">
        <f>D27*F27</f>
        <v/>
      </c>
      <c r="H27" s="11" t="n"/>
      <c r="I27" s="10">
        <f>D27*H27</f>
        <v/>
      </c>
      <c r="J27" s="7" t="inlineStr">
        <is>
          <t>www2.km211.ru</t>
        </is>
      </c>
    </row>
    <row r="28">
      <c r="A28" s="12" t="inlineStr">
        <is>
          <t>Подытог 4 (опц.), ₽</t>
        </is>
      </c>
      <c r="B28" s="13" t="n"/>
      <c r="C28" s="13" t="n"/>
      <c r="D28" s="13" t="n"/>
      <c r="E28" s="13" t="n"/>
      <c r="F28" s="13" t="n"/>
      <c r="G28" s="14">
        <f>SUM(G24:G27)</f>
        <v/>
      </c>
      <c r="H28" s="13" t="n"/>
      <c r="I28" s="14">
        <f>SUM(I24:I27)</f>
        <v/>
      </c>
      <c r="J28" s="13" t="n"/>
    </row>
    <row r="29">
      <c r="A29" s="15" t="inlineStr">
        <is>
          <t>ИТОГО (рабочий MVP, разд. 1–3), ₽</t>
        </is>
      </c>
      <c r="B29" s="16" t="n"/>
      <c r="C29" s="16" t="n"/>
      <c r="D29" s="16" t="n"/>
      <c r="E29" s="16" t="n"/>
      <c r="F29" s="16" t="n"/>
      <c r="G29" s="17">
        <f>G9+G15+G22</f>
        <v/>
      </c>
      <c r="H29" s="16" t="n"/>
      <c r="I29" s="17">
        <f>I9+I15+I22</f>
        <v/>
      </c>
      <c r="J29" s="16" t="n"/>
    </row>
    <row r="30">
      <c r="A30" s="15" t="inlineStr">
        <is>
          <t>ИТОГО (опционально, разд. 4), ₽</t>
        </is>
      </c>
      <c r="B30" s="16" t="n"/>
      <c r="C30" s="16" t="n"/>
      <c r="D30" s="16" t="n"/>
      <c r="E30" s="16" t="n"/>
      <c r="F30" s="16" t="n"/>
      <c r="G30" s="17">
        <f>G28</f>
        <v/>
      </c>
      <c r="H30" s="16" t="n"/>
      <c r="I30" s="17">
        <f>I28</f>
        <v/>
      </c>
      <c r="J30" s="16" t="n"/>
    </row>
    <row r="31">
      <c r="A31" s="15" t="inlineStr">
        <is>
          <t>ВСЕГО, ₽</t>
        </is>
      </c>
      <c r="B31" s="16" t="n"/>
      <c r="C31" s="16" t="n"/>
      <c r="D31" s="16" t="n"/>
      <c r="E31" s="16" t="n"/>
      <c r="F31" s="16" t="n"/>
      <c r="G31" s="17">
        <f>G9+G15+G22+G28</f>
        <v/>
      </c>
      <c r="H31" s="16" t="n"/>
      <c r="I31" s="17">
        <f>I9+I15+I22+I28</f>
        <v/>
      </c>
      <c r="J31" s="16" t="n"/>
    </row>
    <row r="33">
      <c r="A33" s="18" t="inlineStr">
        <is>
          <t>Примечания:</t>
        </is>
      </c>
    </row>
    <row r="34">
      <c r="A34" s="19" t="inlineStr">
        <is>
          <t>1. MVP = 3 FPGA-узла ALINX AX7203 (Artix-7 XC7A200T). 3 узла — минимум для mesh (многохоповая маршрутизация A→B→C); 2 узла — только point-to-point.</t>
        </is>
      </c>
    </row>
    <row r="35">
      <c r="A35" s="19" t="inlineStr">
        <is>
          <t>2. Раздел 2 (видео/аудио) ОБЯЗАТЕЛЕН: критерий AC-2 требует передачи видео/аудио с приоритетом голоса. Продукт — «видео-рация» (UC-1), без камеры/монитора/микрофона демо не собирается.</t>
        </is>
      </c>
    </row>
    <row r="36">
      <c r="A36" s="19" t="inlineStr">
        <is>
          <t>3. Цены «ориент.» — рыночные оценки, подлежат уточнению. Импортные платы (ALINX) дистрибьютор котирует в USD/CNY с конверсией в ₽.</t>
        </is>
      </c>
    </row>
    <row r="37">
      <c r="A37" s="19" t="inlineStr">
        <is>
          <t>4. Host-CPU (Эльбрус / Baikal / ПК) не включён как обязательная закупка — узел садится рядом с существующим хостом по PCIe / USB-UART.</t>
        </is>
      </c>
    </row>
    <row r="38">
      <c r="A38" s="19" t="inlineStr">
        <is>
          <t>5. Полный перечень остального железа из документа (Pango P100/P390, ВЗПП-С, CPE510, LoRa, БПЛА, камеры, тапаут) — на листе «Расширение (вне MVP)».</t>
        </is>
      </c>
    </row>
    <row r="39">
      <c r="A39" s="19" t="inlineStr">
        <is>
          <t>6. Источник номенклатуры: КТП «Trinity Secure Mesh Node v2.0», разделы 5.1, 6, 7, 8.</t>
        </is>
      </c>
    </row>
    <row r="40">
      <c r="A40" s="19" t="inlineStr">
        <is>
          <t>7. Покрываемые критерии приёмки: AC-1 (битстрим), AC-2 (mesh + видео/аудио), AC-3 (audit-log/anti-replay), AC-4 (16 опкодов), AC-5 (GF(16)), AC-8 (TRI_SEAL/G_MERKLE).</t>
        </is>
      </c>
    </row>
  </sheetData>
  <mergeCells count="15">
    <mergeCell ref="A1:J1"/>
    <mergeCell ref="A23:J23"/>
    <mergeCell ref="A28:F28"/>
    <mergeCell ref="A16:J16"/>
    <mergeCell ref="A3:J3"/>
    <mergeCell ref="A9:F9"/>
    <mergeCell ref="A29:F29"/>
    <mergeCell ref="A31:F31"/>
    <mergeCell ref="A4:J4"/>
    <mergeCell ref="A7:J7"/>
    <mergeCell ref="A22:F22"/>
    <mergeCell ref="A2:J2"/>
    <mergeCell ref="A30:F30"/>
    <mergeCell ref="A10:J1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54" customWidth="1" min="3" max="3"/>
    <col width="7" customWidth="1" min="4" max="4"/>
    <col width="6" customWidth="1" min="5" max="5"/>
    <col width="16" customWidth="1" min="6" max="6"/>
    <col width="17" customWidth="1" min="7" max="7"/>
    <col width="16" customWidth="1" min="8" max="8"/>
    <col width="17" customWidth="1" min="9" max="9"/>
    <col width="30" customWidth="1" min="10" max="10"/>
  </cols>
  <sheetData>
    <row r="1">
      <c r="A1" s="1" t="inlineStr">
        <is>
          <t>Оборудование следующих этапов (вне MVP) — справочно</t>
        </is>
      </c>
    </row>
    <row r="2">
      <c r="A2" s="2" t="inlineStr">
        <is>
          <t>Весь остальный перечень железа из КТП (разд. 5.1, 6, 7, 9, 10). Цены — ГРУБЫЕ оценки, обязателен запрос КП.</t>
        </is>
      </c>
    </row>
    <row r="3">
      <c r="A3" s="2" t="inlineStr">
        <is>
          <t>Цель листа — полнота (ничего не потеряно), а не точный бюджет. Стоимость Pango / ВЗПП-С / тапаута сильно варьируется.</t>
        </is>
      </c>
    </row>
    <row r="5">
      <c r="A5" s="3" t="inlineStr">
        <is>
          <t>№</t>
        </is>
      </c>
      <c r="B5" s="3" t="inlineStr">
        <is>
          <t>Наименование</t>
        </is>
      </c>
      <c r="C5" s="3" t="inlineStr">
        <is>
          <t>Назначение / комментарий</t>
        </is>
      </c>
      <c r="D5" s="3" t="inlineStr">
        <is>
          <t>Кол-во</t>
        </is>
      </c>
      <c r="E5" s="3" t="inlineStr">
        <is>
          <t>Ед.</t>
        </is>
      </c>
      <c r="F5" s="3" t="inlineStr">
        <is>
          <t>Цена ориент., ₽</t>
        </is>
      </c>
      <c r="G5" s="3" t="inlineStr">
        <is>
          <t>Сумма ориент., ₽</t>
        </is>
      </c>
      <c r="H5" s="3" t="inlineStr">
        <is>
          <t>Цена факт/КП, ₽</t>
        </is>
      </c>
      <c r="I5" s="3" t="inlineStr">
        <is>
          <t>Сумма факт/КП, ₽</t>
        </is>
      </c>
      <c r="J5" s="3" t="inlineStr">
        <is>
          <t>Поставщик / источник</t>
        </is>
      </c>
    </row>
    <row r="6">
      <c r="A6" s="4" t="inlineStr">
        <is>
          <t>Ветка A — RU-порт и серия (Ф5 / серийный узел)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6" t="n">
        <v>1</v>
      </c>
      <c r="B7" s="7" t="inlineStr">
        <is>
          <t>Плата PangoMicro P100 / AXP100 (Logos-2, 99 900 LUT4)</t>
        </is>
      </c>
      <c r="C7" s="7" t="inlineStr">
        <is>
          <t>RU-friendly пилот (AC-6): 1 GB DDR3, PCIe 2.0, 8× HSST 6.6 Gbps, 2× SFP + GbE</t>
        </is>
      </c>
      <c r="D7" s="8" t="n">
        <v>1</v>
      </c>
      <c r="E7" s="6" t="inlineStr">
        <is>
          <t>шт</t>
        </is>
      </c>
      <c r="F7" s="9" t="n">
        <v>180000</v>
      </c>
      <c r="G7" s="10">
        <f>D7*F7</f>
        <v/>
      </c>
      <c r="H7" s="11" t="n"/>
      <c r="I7" s="10">
        <f>D7*H7</f>
        <v/>
      </c>
      <c r="J7" s="7" t="inlineStr">
        <is>
          <t>MacroGroup (macrogroup.ru) — запрос КП</t>
        </is>
      </c>
    </row>
    <row r="8">
      <c r="A8" s="6" t="n">
        <v>2</v>
      </c>
      <c r="B8" s="7" t="inlineStr">
        <is>
          <t>Плата PangoMicro P390 / AXP390 (Titan-2 PG2T390H, 365 400 LUT4)</t>
        </is>
      </c>
      <c r="C8" s="7" t="inlineStr">
        <is>
          <t>Серийный кии-узел: 8 GB DDR4, PCIe 3.0, 16× HSST 13.125 Gbps, 276 I/O, SFP + GbE</t>
        </is>
      </c>
      <c r="D8" s="8" t="n">
        <v>1</v>
      </c>
      <c r="E8" s="6" t="inlineStr">
        <is>
          <t>шт</t>
        </is>
      </c>
      <c r="F8" s="9" t="n">
        <v>350000</v>
      </c>
      <c r="G8" s="10">
        <f>D8*F8</f>
        <v/>
      </c>
      <c r="H8" s="11" t="n"/>
      <c r="I8" s="10">
        <f>D8*H8</f>
        <v/>
      </c>
      <c r="J8" s="7" t="inlineStr">
        <is>
          <t>fpgapro.com — запрос КП</t>
        </is>
      </c>
    </row>
    <row r="9">
      <c r="A9" s="6" t="n">
        <v>3</v>
      </c>
      <c r="B9" s="7" t="inlineStr">
        <is>
          <t>ВЗПП-С / КТЦ 5578ТС064 (55 856 LE, аналог Altera EP3C55)</t>
        </is>
      </c>
      <c r="C9" s="7" t="inlineStr">
        <is>
          <t>Compliance / урезанный packet-guard: 2.3 Mbit BRAM, 156 умножителей, GMII soft</t>
        </is>
      </c>
      <c r="D9" s="8" t="n">
        <v>1</v>
      </c>
      <c r="E9" s="6" t="inlineStr">
        <is>
          <t>шт</t>
        </is>
      </c>
      <c r="F9" s="9" t="n">
        <v>120000</v>
      </c>
      <c r="G9" s="10">
        <f>D9*F9</f>
        <v/>
      </c>
      <c r="H9" s="11" t="n"/>
      <c r="I9" s="10">
        <f>D9*H9</f>
        <v/>
      </c>
      <c r="J9" s="7" t="inlineStr">
        <is>
          <t>ВЗПП-С / eandc.ru — запрос КП</t>
        </is>
      </c>
    </row>
    <row r="10">
      <c r="A10" s="12" t="inlineStr">
        <is>
          <t>Подытог (ветка A), ₽</t>
        </is>
      </c>
      <c r="B10" s="13" t="n"/>
      <c r="C10" s="13" t="n"/>
      <c r="D10" s="13" t="n"/>
      <c r="E10" s="13" t="n"/>
      <c r="F10" s="13" t="n"/>
      <c r="G10" s="14">
        <f>SUM(G7:G9)</f>
        <v/>
      </c>
      <c r="H10" s="13" t="n"/>
      <c r="I10" s="14">
        <f>SUM(I7:I9)</f>
        <v/>
      </c>
      <c r="J10" s="13" t="n"/>
    </row>
    <row r="11">
      <c r="A11" s="4" t="inlineStr">
        <is>
          <t>Ветка B — кремний TRI-1 (silicon, услуги фаундри)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n">
        <v>4</v>
      </c>
      <c r="B12" s="7" t="inlineStr">
        <is>
          <t>Слот тапаута TinyTapeout TTSKY26b (SKY130)</t>
        </is>
      </c>
      <c r="C12" s="7" t="inlineStr">
        <is>
          <t>Дедлайн 17.05.2026; fallback TTSKY26c (авг. 2026). Возврат кристаллов 16.12.2026</t>
        </is>
      </c>
      <c r="D12" s="8" t="n">
        <v>1</v>
      </c>
      <c r="E12" s="6" t="inlineStr">
        <is>
          <t>слот</t>
        </is>
      </c>
      <c r="F12" s="9" t="n">
        <v>90000</v>
      </c>
      <c r="G12" s="10">
        <f>D12*F12</f>
        <v/>
      </c>
      <c r="H12" s="11" t="n"/>
      <c r="I12" s="10">
        <f>D12*H12</f>
        <v/>
      </c>
      <c r="J12" s="7" t="inlineStr">
        <is>
          <t>app.tinytapeout.com/shuttles — тариф</t>
        </is>
      </c>
    </row>
    <row r="13">
      <c r="A13" s="6" t="n">
        <v>5</v>
      </c>
      <c r="B13" s="7" t="inlineStr">
        <is>
          <t>MPW-подача IHP SG13G2 (параллельно)</t>
        </is>
      </c>
      <c r="C13" s="7" t="inlineStr">
        <is>
          <t>Открытый PDK SG13G2; страховка от срыва тапаута (R-3)</t>
        </is>
      </c>
      <c r="D13" s="8" t="n">
        <v>1</v>
      </c>
      <c r="E13" s="6" t="inlineStr">
        <is>
          <t>подача</t>
        </is>
      </c>
      <c r="F13" s="9" t="n">
        <v>250000</v>
      </c>
      <c r="G13" s="10">
        <f>D13*F13</f>
        <v/>
      </c>
      <c r="H13" s="11" t="n"/>
      <c r="I13" s="10">
        <f>D13*H13</f>
        <v/>
      </c>
      <c r="J13" s="7" t="inlineStr">
        <is>
          <t>IHP MPW — тариф (уточнять)</t>
        </is>
      </c>
    </row>
    <row r="14">
      <c r="A14" s="12" t="inlineStr">
        <is>
          <t>Подытог (ветка B), ₽</t>
        </is>
      </c>
      <c r="B14" s="13" t="n"/>
      <c r="C14" s="13" t="n"/>
      <c r="D14" s="13" t="n"/>
      <c r="E14" s="13" t="n"/>
      <c r="F14" s="13" t="n"/>
      <c r="G14" s="14">
        <f>SUM(G12:G13)</f>
        <v/>
      </c>
      <c r="H14" s="13" t="n"/>
      <c r="I14" s="14">
        <f>SUM(I12:I13)</f>
        <v/>
      </c>
      <c r="J14" s="13" t="n"/>
    </row>
    <row r="15">
      <c r="A15" s="4" t="inlineStr">
        <is>
          <t>Полевой mesh + БПЛА (Ф6, UC-1…UC-4)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6" t="n">
        <v>6</v>
      </c>
      <c r="B16" s="7" t="inlineStr">
        <is>
          <t>Плата ALINX AX7203 — доп. узлы (до mesh 8 узлов)</t>
        </is>
      </c>
      <c r="C16" s="7" t="inlineStr">
        <is>
          <t>Расширение с 3 до 8 узлов (финальное демо: 8 mesh + 1 TRI-1)</t>
        </is>
      </c>
      <c r="D16" s="8" t="n">
        <v>5</v>
      </c>
      <c r="E16" s="6" t="inlineStr">
        <is>
          <t>шт</t>
        </is>
      </c>
      <c r="F16" s="9" t="n">
        <v>55000</v>
      </c>
      <c r="G16" s="10">
        <f>D16*F16</f>
        <v/>
      </c>
      <c r="H16" s="11" t="n"/>
      <c r="I16" s="10">
        <f>D16*H16</f>
        <v/>
      </c>
      <c r="J16" s="7" t="inlineStr">
        <is>
          <t>ALINX RU-партнёр</t>
        </is>
      </c>
    </row>
    <row r="17">
      <c r="A17" s="6" t="n">
        <v>7</v>
      </c>
      <c r="B17" s="7" t="inlineStr">
        <is>
          <t>CPE510 (5 ГГц outdoor-мост) + антенна</t>
        </is>
      </c>
      <c r="C17" s="7" t="inlineStr">
        <is>
          <t>Резервный полевой радиоканал (R-11), погодоустойчивость</t>
        </is>
      </c>
      <c r="D17" s="8" t="n">
        <v>4</v>
      </c>
      <c r="E17" s="6" t="inlineStr">
        <is>
          <t>шт</t>
        </is>
      </c>
      <c r="F17" s="9" t="n">
        <v>6000</v>
      </c>
      <c r="G17" s="10">
        <f>D17*F17</f>
        <v/>
      </c>
      <c r="H17" s="11" t="n"/>
      <c r="I17" s="10">
        <f>D17*H17</f>
        <v/>
      </c>
      <c r="J17" s="7" t="inlineStr">
        <is>
          <t>локальный дистрибьютор</t>
        </is>
      </c>
    </row>
    <row r="18">
      <c r="A18" s="6" t="n">
        <v>8</v>
      </c>
      <c r="B18" s="7" t="inlineStr">
        <is>
          <t>LoRa-модуль + антенна</t>
        </is>
      </c>
      <c r="C18" s="7" t="inlineStr">
        <is>
          <t>Control-plane / fallback низкоскоростной командный канал против РЭБ (R-12)</t>
        </is>
      </c>
      <c r="D18" s="8" t="n">
        <v>4</v>
      </c>
      <c r="E18" s="6" t="inlineStr">
        <is>
          <t>шт</t>
        </is>
      </c>
      <c r="F18" s="9" t="n">
        <v>2500</v>
      </c>
      <c r="G18" s="10">
        <f>D18*F18</f>
        <v/>
      </c>
      <c r="H18" s="11" t="n"/>
      <c r="I18" s="10">
        <f>D18*H18</f>
        <v/>
      </c>
      <c r="J18" s="7" t="inlineStr">
        <is>
          <t>локальный дистрибьютор</t>
        </is>
      </c>
    </row>
    <row r="19">
      <c r="A19" s="6" t="n">
        <v>9</v>
      </c>
      <c r="B19" s="7" t="inlineStr">
        <is>
          <t>БПЛА (носитель узла)</t>
        </is>
      </c>
      <c r="C19" s="7" t="inlineStr">
        <is>
          <t>Рой 4–16 бортов (UC-1). Минимум для полевого теста — 4. Стоимость сильно варьируется</t>
        </is>
      </c>
      <c r="D19" s="8" t="n">
        <v>4</v>
      </c>
      <c r="E19" s="6" t="inlineStr">
        <is>
          <t>шт</t>
        </is>
      </c>
      <c r="F19" s="9" t="n">
        <v>80000</v>
      </c>
      <c r="G19" s="10">
        <f>D19*F19</f>
        <v/>
      </c>
      <c r="H19" s="11" t="n"/>
      <c r="I19" s="10">
        <f>D19*H19</f>
        <v/>
      </c>
      <c r="J19" s="7" t="inlineStr">
        <is>
          <t>подбор под поле</t>
        </is>
      </c>
    </row>
    <row r="20">
      <c r="A20" s="6" t="n">
        <v>10</v>
      </c>
      <c r="B20" s="7" t="inlineStr">
        <is>
          <t>Камера для БПЛА (aerial recon)</t>
        </is>
      </c>
      <c r="C20" s="7" t="inlineStr">
        <is>
          <t>Источник видеопотока на борту (Figure 6 «THE EYE»)</t>
        </is>
      </c>
      <c r="D20" s="8" t="n">
        <v>4</v>
      </c>
      <c r="E20" s="6" t="inlineStr">
        <is>
          <t>шт</t>
        </is>
      </c>
      <c r="F20" s="9" t="n">
        <v>8000</v>
      </c>
      <c r="G20" s="10">
        <f>D20*F20</f>
        <v/>
      </c>
      <c r="H20" s="11" t="n"/>
      <c r="I20" s="10">
        <f>D20*H20</f>
        <v/>
      </c>
      <c r="J20" s="7" t="inlineStr">
        <is>
          <t>локальный дистрибьютор</t>
        </is>
      </c>
    </row>
    <row r="21">
      <c r="A21" s="6" t="n">
        <v>11</v>
      </c>
      <c r="B21" s="7" t="inlineStr">
        <is>
          <t>Корпус узла (enclosure, 2× GbE + JTAG)</t>
        </is>
      </c>
      <c r="C21" s="7" t="inlineStr">
        <is>
          <t>Полевой корпус узла (Figure 5 «THE NODE»), тепловой режим</t>
        </is>
      </c>
      <c r="D21" s="8" t="n">
        <v>8</v>
      </c>
      <c r="E21" s="6" t="inlineStr">
        <is>
          <t>шт</t>
        </is>
      </c>
      <c r="F21" s="9" t="n">
        <v>5000</v>
      </c>
      <c r="G21" s="10">
        <f>D21*F21</f>
        <v/>
      </c>
      <c r="H21" s="11" t="n"/>
      <c r="I21" s="10">
        <f>D21*H21</f>
        <v/>
      </c>
      <c r="J21" s="7" t="inlineStr">
        <is>
          <t>локальный / под заказ</t>
        </is>
      </c>
    </row>
    <row r="22">
      <c r="A22" s="12" t="inlineStr">
        <is>
          <t>Подытог (поле/БПЛА), ₽</t>
        </is>
      </c>
      <c r="B22" s="13" t="n"/>
      <c r="C22" s="13" t="n"/>
      <c r="D22" s="13" t="n"/>
      <c r="E22" s="13" t="n"/>
      <c r="F22" s="13" t="n"/>
      <c r="G22" s="14">
        <f>SUM(G16:G21)</f>
        <v/>
      </c>
      <c r="H22" s="13" t="n"/>
      <c r="I22" s="14">
        <f>SUM(I16:I21)</f>
        <v/>
      </c>
      <c r="J22" s="13" t="n"/>
    </row>
    <row r="23">
      <c r="A23" s="15" t="inlineStr">
        <is>
          <t>ИТОГО (справочно, грубо), ₽</t>
        </is>
      </c>
      <c r="B23" s="16" t="n"/>
      <c r="C23" s="16" t="n"/>
      <c r="D23" s="16" t="n"/>
      <c r="E23" s="16" t="n"/>
      <c r="F23" s="16" t="n"/>
      <c r="G23" s="17">
        <f>G10+G14+G22</f>
        <v/>
      </c>
      <c r="H23" s="16" t="n"/>
      <c r="I23" s="17">
        <f>I10+I14+I22</f>
        <v/>
      </c>
      <c r="J23" s="16" t="n"/>
    </row>
    <row r="25">
      <c r="A25" s="18" t="inlineStr">
        <is>
          <t>Примечания:</t>
        </is>
      </c>
    </row>
    <row r="26">
      <c r="A26" s="19" t="inlineStr">
        <is>
          <t>• Этот лист — НЕ часть MVP. Он перечисляет всё остальное оборудование из документа для следующих этапов.</t>
        </is>
      </c>
    </row>
    <row r="27">
      <c r="A27" s="19" t="inlineStr">
        <is>
          <t>• Цены Pango (P100/P390), ВЗПП-С и услуг тапаута/MPW — грубые оценки; обязателен запрос КП / тарифа фаундри.</t>
        </is>
      </c>
    </row>
    <row r="28">
      <c r="A28" s="19" t="inlineStr">
        <is>
          <t>• Стоимость БПЛА и полевой обвязки зависит от выбранной платформы и требований поля.</t>
        </is>
      </c>
    </row>
  </sheetData>
  <mergeCells count="10">
    <mergeCell ref="A1:J1"/>
    <mergeCell ref="A10:F10"/>
    <mergeCell ref="A6:J6"/>
    <mergeCell ref="A14:F14"/>
    <mergeCell ref="A23:F23"/>
    <mergeCell ref="A3:J3"/>
    <mergeCell ref="A15:J15"/>
    <mergeCell ref="A22:F22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2026-05-28T11:46:50Z</dcterms:created>
  <dcterms:modified xmlns:dcterms="http://purl.org/dc/terms/" xmlns:xsi="http://www.w3.org/2001/XMLSchema-instance" xsi:type="dcterms:W3CDTF">2026-05-28T11:46:50Z</dcterms:modified>
</cp:coreProperties>
</file>